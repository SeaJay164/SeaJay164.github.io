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SeaJay164.github.io\"/>
    </mc:Choice>
  </mc:AlternateContent>
  <xr:revisionPtr revIDLastSave="0" documentId="13_ncr:1_{43EDB7F7-DE3C-4889-AA71-39C8A4ADC178}" xr6:coauthVersionLast="47" xr6:coauthVersionMax="47" xr10:uidLastSave="{00000000-0000-0000-0000-000000000000}"/>
  <bookViews>
    <workbookView xWindow="-120" yWindow="-120" windowWidth="38640" windowHeight="21240" xr2:uid="{905D6A91-6FE7-49D1-8CB1-BB8F92ABC96D}"/>
  </bookViews>
  <sheets>
    <sheet name="Gu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 a="1"/>
  <c r="N3" i="1" s="1"/>
  <c r="R3" i="1" a="1"/>
  <c r="R3" i="1" s="1"/>
  <c r="Z3" i="1" a="1"/>
  <c r="Z3" i="1" s="1"/>
  <c r="W2" i="1" a="1"/>
  <c r="W2" i="1" s="1"/>
  <c r="L2" i="1"/>
  <c r="P3" i="1" l="1" a="1"/>
  <c r="P3" i="1" s="1"/>
  <c r="O3" i="1" a="1"/>
  <c r="O3" i="1" s="1"/>
  <c r="AC3" i="1" a="1"/>
  <c r="AC3" i="1" s="1"/>
  <c r="AB3" i="1" a="1"/>
  <c r="AB3" i="1" s="1"/>
  <c r="T3" i="1" a="1"/>
  <c r="T3" i="1" s="1"/>
  <c r="U3" i="1" a="1"/>
  <c r="U3" i="1" s="1"/>
  <c r="X2" i="1" a="1"/>
  <c r="X2" i="1" s="1"/>
  <c r="S3" i="1" a="1"/>
  <c r="S3" i="1" s="1"/>
  <c r="AA3" i="1" a="1"/>
  <c r="AA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<sst xmlns="http://schemas.openxmlformats.org/spreadsheetml/2006/main" count="285" uniqueCount="97">
  <si>
    <t>Guest 1</t>
  </si>
  <si>
    <t>Guest 2</t>
  </si>
  <si>
    <t>Alex</t>
  </si>
  <si>
    <t>Shaniah</t>
  </si>
  <si>
    <t>Tabby</t>
  </si>
  <si>
    <t>Taylor</t>
  </si>
  <si>
    <t>Erin</t>
  </si>
  <si>
    <t>Adam</t>
  </si>
  <si>
    <t>Plus One</t>
  </si>
  <si>
    <t>yes</t>
  </si>
  <si>
    <t>Mel</t>
  </si>
  <si>
    <t>LJ</t>
  </si>
  <si>
    <t>Mike</t>
  </si>
  <si>
    <t>John</t>
  </si>
  <si>
    <t>Luis</t>
  </si>
  <si>
    <t>Taryn</t>
  </si>
  <si>
    <t>Michelle</t>
  </si>
  <si>
    <t>JR</t>
  </si>
  <si>
    <t>SK</t>
  </si>
  <si>
    <t>Cindy</t>
  </si>
  <si>
    <t>Side</t>
  </si>
  <si>
    <t>Relation</t>
  </si>
  <si>
    <t>Michael</t>
  </si>
  <si>
    <t>Ali</t>
  </si>
  <si>
    <t>Family</t>
  </si>
  <si>
    <t>dayton</t>
  </si>
  <si>
    <t>party</t>
  </si>
  <si>
    <t>no</t>
  </si>
  <si>
    <t>level</t>
  </si>
  <si>
    <t>family</t>
  </si>
  <si>
    <t>Brooke</t>
  </si>
  <si>
    <t>Kayla</t>
  </si>
  <si>
    <t>Ian</t>
  </si>
  <si>
    <t>Christian</t>
  </si>
  <si>
    <t>Katie</t>
  </si>
  <si>
    <t>Maria</t>
  </si>
  <si>
    <t>Libby</t>
  </si>
  <si>
    <t>An</t>
  </si>
  <si>
    <t>work</t>
  </si>
  <si>
    <t>west</t>
  </si>
  <si>
    <t>east</t>
  </si>
  <si>
    <t>Clare Catania</t>
  </si>
  <si>
    <t>Adam Hunt</t>
  </si>
  <si>
    <t>Ashley Willhelm</t>
  </si>
  <si>
    <t>Zac Willhelm</t>
  </si>
  <si>
    <t>Sebastian DeSantiago Lefever</t>
  </si>
  <si>
    <t>Rileigh DeSantiago Lefever</t>
  </si>
  <si>
    <t>Pablo Alarcon Cabrera</t>
  </si>
  <si>
    <t>Maryem Menad</t>
  </si>
  <si>
    <t>Nick Hartup</t>
  </si>
  <si>
    <t>Rose Hartup</t>
  </si>
  <si>
    <t>Alex Sanders</t>
  </si>
  <si>
    <t>Tim Tanner</t>
  </si>
  <si>
    <t>Raelynn Tanner</t>
  </si>
  <si>
    <t>Eric Zambory</t>
  </si>
  <si>
    <t>Lizzy Zambory</t>
  </si>
  <si>
    <t>Claire Kaminski</t>
  </si>
  <si>
    <t>Anna Schober</t>
  </si>
  <si>
    <t>Sam Hyde</t>
  </si>
  <si>
    <t>Kurt Carpenter</t>
  </si>
  <si>
    <t>Aubree Dix</t>
  </si>
  <si>
    <t>Frank Puglielli</t>
  </si>
  <si>
    <t>Bre Horvath</t>
  </si>
  <si>
    <t>Alex Foster</t>
  </si>
  <si>
    <t>Peair Foster</t>
  </si>
  <si>
    <t>Courtney Krueger</t>
  </si>
  <si>
    <t>Tim Kreuger</t>
  </si>
  <si>
    <t>Brittany Haldin</t>
  </si>
  <si>
    <t>Mike Haldin</t>
  </si>
  <si>
    <t>Phil Dunn</t>
  </si>
  <si>
    <t>Tiffany Hayes</t>
  </si>
  <si>
    <t>Duncan Lamar</t>
  </si>
  <si>
    <t>John Nelson</t>
  </si>
  <si>
    <t>Jillian Nelson</t>
  </si>
  <si>
    <t>Chuck Catania</t>
  </si>
  <si>
    <t>Michelle Catania</t>
  </si>
  <si>
    <t>Mark Willhelm</t>
  </si>
  <si>
    <t>Stephanie Blake</t>
  </si>
  <si>
    <t>Nick Serra</t>
  </si>
  <si>
    <t>Sean Roy</t>
  </si>
  <si>
    <t>Meghan Roy</t>
  </si>
  <si>
    <t>Cort Agnew</t>
  </si>
  <si>
    <t>Debbie Jones</t>
  </si>
  <si>
    <t>Rich Jones</t>
  </si>
  <si>
    <t>Johnny Gretz</t>
  </si>
  <si>
    <t>Christine Gretz</t>
  </si>
  <si>
    <t>Chris Norris</t>
  </si>
  <si>
    <t>Paul Gretz</t>
  </si>
  <si>
    <t>Jen Gretz</t>
  </si>
  <si>
    <t>guest 1 in party?</t>
  </si>
  <si>
    <t>guest 2 in party?</t>
  </si>
  <si>
    <t>All</t>
  </si>
  <si>
    <t>n/a</t>
  </si>
  <si>
    <t>officiant</t>
  </si>
  <si>
    <t>total</t>
  </si>
  <si>
    <t>relation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</si>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</sst>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E382B-C484-4829-8702-FA77E77FA987}" name="Table1" displayName="Table1" ref="A1:H42" totalsRowShown="0">
  <autoFilter ref="A1:H42" xr:uid="{1B2E382B-C484-4829-8702-FA77E77FA987}"/>
  <tableColumns count="8">
    <tableColumn id="1" xr3:uid="{746A4827-4DCB-4B5E-9FBF-B70AB176B2FA}" name="Guest 1"/>
    <tableColumn id="2" xr3:uid="{FEB1108B-D6F5-4E1F-BC4A-23A9058073B4}" name="Guest 2"/>
    <tableColumn id="3" xr3:uid="{A85E8E06-6EDF-483F-9085-B9F8049EFB07}" name="Plus One"/>
    <tableColumn id="4" xr3:uid="{EE6F21BD-DA51-4193-A99E-A2323CEBA63C}" name="Side"/>
    <tableColumn id="5" xr3:uid="{B2D265D5-8BB8-4BF1-9DCB-5186B51748F1}" name="Relation"/>
    <tableColumn id="6" xr3:uid="{D37DF453-F352-4050-9D8E-96D77CAB3BDA}" name="guest 1 in party?"/>
    <tableColumn id="7" xr3:uid="{8F56F7A6-814F-4514-BD05-A328F6C070EE}" name="guest 2 in party?"/>
    <tableColumn id="8" xr3:uid="{BB38050B-3194-4BD2-80EC-8A89AF598418}" name="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9BE9-E065-464C-BEC1-9BCFCA534223}">
  <dimension ref="A1:AC42"/>
  <sheetViews>
    <sheetView tabSelected="1" zoomScaleNormal="100" workbookViewId="0"/>
  </sheetViews>
  <sheetFormatPr defaultRowHeight="15" x14ac:dyDescent="0.25"/>
  <cols>
    <col min="1" max="1" width="27.140625" bestFit="1" customWidth="1"/>
    <col min="2" max="2" width="24.28515625" bestFit="1" customWidth="1"/>
    <col min="3" max="3" width="11.28515625" bestFit="1" customWidth="1"/>
    <col min="4" max="4" width="8" bestFit="1" customWidth="1"/>
    <col min="5" max="5" width="10.85546875" bestFit="1" customWidth="1"/>
    <col min="6" max="7" width="18" bestFit="1" customWidth="1"/>
    <col min="8" max="8" width="7.7109375" bestFit="1" customWidth="1"/>
  </cols>
  <sheetData>
    <row r="1" spans="1:29" x14ac:dyDescent="0.25">
      <c r="A1" t="s">
        <v>0</v>
      </c>
      <c r="B1" t="s">
        <v>1</v>
      </c>
      <c r="C1" t="s">
        <v>8</v>
      </c>
      <c r="D1" t="s">
        <v>20</v>
      </c>
      <c r="E1" t="s">
        <v>21</v>
      </c>
      <c r="F1" t="s">
        <v>89</v>
      </c>
      <c r="G1" t="s">
        <v>90</v>
      </c>
      <c r="H1" t="s">
        <v>28</v>
      </c>
      <c r="K1" s="2" t="s">
        <v>91</v>
      </c>
      <c r="L1" s="2"/>
      <c r="N1" s="2" t="s">
        <v>20</v>
      </c>
      <c r="O1" s="2"/>
      <c r="R1" s="2" t="s">
        <v>21</v>
      </c>
      <c r="S1" s="2"/>
      <c r="T1" s="2"/>
      <c r="U1" s="2"/>
      <c r="W1" s="2" t="s">
        <v>26</v>
      </c>
      <c r="X1" s="2"/>
      <c r="Z1" s="2" t="s">
        <v>28</v>
      </c>
      <c r="AA1" s="2"/>
      <c r="AB1" s="2"/>
      <c r="AC1" s="2"/>
    </row>
    <row r="2" spans="1:29" x14ac:dyDescent="0.25">
      <c r="A2" t="s">
        <v>41</v>
      </c>
      <c r="B2" t="s">
        <v>42</v>
      </c>
      <c r="C2" t="s">
        <v>92</v>
      </c>
      <c r="D2" t="s">
        <v>22</v>
      </c>
      <c r="E2" t="s">
        <v>24</v>
      </c>
      <c r="F2" t="s">
        <v>23</v>
      </c>
      <c r="G2" t="s">
        <v>29</v>
      </c>
      <c r="H2">
        <v>1</v>
      </c>
      <c r="K2" t="s">
        <v>91</v>
      </c>
      <c r="L2">
        <f>COUNTA(Table1[[Guest 1]:[Guest 2]])+COUNTIF(Table1[Plus One],"yes")</f>
        <v>76</v>
      </c>
      <c r="N2" t="s">
        <v>20</v>
      </c>
      <c r="O2" t="s">
        <v>96</v>
      </c>
      <c r="P2" t="s">
        <v>8</v>
      </c>
      <c r="R2" t="s">
        <v>95</v>
      </c>
      <c r="S2" t="s">
        <v>94</v>
      </c>
      <c r="T2" t="s">
        <v>22</v>
      </c>
      <c r="U2" t="s">
        <v>23</v>
      </c>
      <c r="W2" t="str" cm="1">
        <f t="array" ref="W2:W6">_xlfn.UNIQUE(_xlfn._xlws.FILTER(_xlfn.VSTACK(Table1[guest 1 in party?],Table1[guest 2 in party?]),_xlfn.VSTACK(Table1[guest 1 in party?],Table1[guest 2 in party?])&lt;&gt;""))</f>
        <v>Ali</v>
      </c>
      <c r="X2" cm="1">
        <f t="array" ref="X2:X6">COUNTIFS(Table1[guest 1 in party?],_xlfn.ANCHORARRAY(W2),Table1[Guest 1],"&lt;&gt;"&amp;"")+COUNTIFS(Table1[guest 2 in party?],_xlfn.ANCHORARRAY(W2),Table1[Guest 2],"&lt;&gt;"&amp;"")</f>
        <v>5</v>
      </c>
      <c r="Z2" t="s">
        <v>28</v>
      </c>
      <c r="AA2" t="s">
        <v>94</v>
      </c>
      <c r="AB2" t="s">
        <v>22</v>
      </c>
      <c r="AC2" t="s">
        <v>23</v>
      </c>
    </row>
    <row r="3" spans="1:29" x14ac:dyDescent="0.25">
      <c r="A3" t="s">
        <v>43</v>
      </c>
      <c r="D3" t="s">
        <v>23</v>
      </c>
      <c r="E3" t="s">
        <v>24</v>
      </c>
      <c r="F3" t="s">
        <v>23</v>
      </c>
      <c r="G3" t="s">
        <v>27</v>
      </c>
      <c r="H3">
        <v>1</v>
      </c>
      <c r="N3" t="str" cm="1">
        <f t="array" ref="N3:N4">_xlfn.UNIQUE(_xlfn._xlws.FILTER(Table1[Side],Table1[Side]&lt;&gt;""))</f>
        <v>Michael</v>
      </c>
      <c r="O3" cm="1">
        <f t="array" ref="O3:O4">COUNTIFS(Table1[Side],_xlfn.ANCHORARRAY(N3),Table1[Guest 1],"&lt;&gt;"&amp;"")+COUNTIFS(Table1[Side],_xlfn.ANCHORARRAY(N3),Table1[Guest 2],"&lt;&gt;"&amp;"")</f>
        <v>51</v>
      </c>
      <c r="P3" cm="1">
        <f t="array" ref="P3:P4">COUNTIFS(Table1[Side],_xlfn.ANCHORARRAY(N3),Table1[Plus One],"yes")</f>
        <v>4</v>
      </c>
      <c r="R3" t="str" cm="1">
        <f t="array" ref="R3:R7">_xlfn.UNIQUE(_xlfn._xlws.FILTER(Table1[Relation],Table1[Relation]&lt;&gt;""))</f>
        <v>Family</v>
      </c>
      <c r="S3" cm="1">
        <f t="array" ref="S3:S7">COUNTIFS(Table1[Relation],_xlfn.ANCHORARRAY(R3),Table1[Guest 1],"&lt;&gt;"&amp;"")+COUNTIFS(Table1[Relation],_xlfn.ANCHORARRAY(R3),Table1[Guest 2],"&lt;&gt;"&amp;"")+COUNTIFS(Table1[Relation],_xlfn.ANCHORARRAY(R3),Table1[Plus One],"yes")</f>
        <v>26</v>
      </c>
      <c r="T3" cm="1">
        <f t="array" ref="T3:T7">COUNTIFS(Table1[Relation],_xlfn.ANCHORARRAY(R3),Table1[Guest 1],"&lt;&gt;"&amp;"",Table1[Side],$T$2)+COUNTIFS(Table1[Relation],_xlfn.ANCHORARRAY(R3),Table1[Guest 2],"&lt;&gt;"&amp;"",Table1[Side],$T$2)+COUNTIFS(Table1[Relation],_xlfn.ANCHORARRAY(R3),Table1[Plus One],"yes",Table1[Side],$T$2)</f>
        <v>17</v>
      </c>
      <c r="U3" cm="1">
        <f t="array" ref="U3:U7">COUNTIFS(Table1[Relation],_xlfn.ANCHORARRAY(R3),Table1[Guest 1],"&lt;&gt;"&amp;"",Table1[Side],$U$2)+COUNTIFS(Table1[Relation],_xlfn.ANCHORARRAY(R3),Table1[Guest 2],"&lt;&gt;"&amp;"",Table1[Side],$U$2)+COUNTIFS(Table1[Relation],_xlfn.ANCHORARRAY(R3),Table1[Plus One],"yes",Table1[Side],$U$2)</f>
        <v>9</v>
      </c>
      <c r="W3" t="str">
        <v>Michael</v>
      </c>
      <c r="X3">
        <v>4</v>
      </c>
      <c r="Z3" cm="1">
        <f t="array" ref="Z3">_xlfn.UNIQUE(_xlfn._xlws.FILTER(Table1[level],Table1[level]&lt;&gt;""))</f>
        <v>1</v>
      </c>
      <c r="AA3" cm="1">
        <f t="array" ref="AA3">COUNTIFS(Table1[level],_xlfn.ANCHORARRAY(Z3),Table1[Guest 1],"&lt;&gt;"&amp;"")+COUNTIFS(Table1[level],_xlfn.ANCHORARRAY(Z3),Table1[Guest 2],"&lt;&gt;"&amp;"")+COUNTIFS(Table1[level],_xlfn.ANCHORARRAY(Z3),Table1[Plus One],"yes")</f>
        <v>44</v>
      </c>
      <c r="AB3" cm="1">
        <f t="array" ref="AB3">COUNTIFS(Table1[level],_xlfn.ANCHORARRAY(Z3),Table1[Guest 1],"&lt;&gt;"&amp;"",Table1[Side],$AB$2)+COUNTIFS(Table1[level],_xlfn.ANCHORARRAY(Z3),Table1[Guest 2],"&lt;&gt;"&amp;"",Table1[Side],$AB$2)+COUNTIFS(Table1[level],_xlfn.ANCHORARRAY(Z3),Table1[Plus One],"yes",Table1[Side],$AB$2)</f>
        <v>33</v>
      </c>
      <c r="AC3" cm="1">
        <f t="array" ref="AC3">COUNTIFS(Table1[level],_xlfn.ANCHORARRAY(Z3),Table1[Guest 1],"&lt;&gt;"&amp;"",Table1[Side],$AC$2)+COUNTIFS(Table1[level],_xlfn.ANCHORARRAY(Z3),Table1[Guest 2],"&lt;&gt;"&amp;"",Table1[Side],$AC$2)+COUNTIFS(Table1[level],_xlfn.ANCHORARRAY(Z3),Table1[Plus One],"yes",Table1[Side],$AC$2)</f>
        <v>11</v>
      </c>
    </row>
    <row r="4" spans="1:29" x14ac:dyDescent="0.25">
      <c r="A4" t="s">
        <v>44</v>
      </c>
      <c r="D4" t="s">
        <v>23</v>
      </c>
      <c r="E4" t="s">
        <v>24</v>
      </c>
      <c r="G4" t="s">
        <v>27</v>
      </c>
      <c r="H4">
        <v>1</v>
      </c>
      <c r="N4" t="str">
        <v>Ali</v>
      </c>
      <c r="O4">
        <v>21</v>
      </c>
      <c r="P4">
        <v>0</v>
      </c>
      <c r="R4" t="str">
        <v>west</v>
      </c>
      <c r="S4">
        <v>24</v>
      </c>
      <c r="T4">
        <v>24</v>
      </c>
      <c r="U4">
        <v>0</v>
      </c>
      <c r="W4" t="str">
        <v>no</v>
      </c>
      <c r="X4">
        <v>48</v>
      </c>
    </row>
    <row r="5" spans="1:29" x14ac:dyDescent="0.25">
      <c r="A5" t="s">
        <v>45</v>
      </c>
      <c r="B5" t="s">
        <v>46</v>
      </c>
      <c r="C5" t="s">
        <v>92</v>
      </c>
      <c r="D5" t="s">
        <v>22</v>
      </c>
      <c r="E5" t="s">
        <v>39</v>
      </c>
      <c r="F5" t="s">
        <v>22</v>
      </c>
      <c r="G5" t="s">
        <v>27</v>
      </c>
      <c r="H5">
        <v>1</v>
      </c>
      <c r="R5" t="str">
        <v>dayton</v>
      </c>
      <c r="S5">
        <v>14</v>
      </c>
      <c r="T5">
        <v>14</v>
      </c>
      <c r="U5">
        <v>0</v>
      </c>
      <c r="W5" t="str">
        <v>family</v>
      </c>
      <c r="X5">
        <v>6</v>
      </c>
    </row>
    <row r="6" spans="1:29" x14ac:dyDescent="0.25">
      <c r="A6" t="s">
        <v>47</v>
      </c>
      <c r="B6" t="s">
        <v>48</v>
      </c>
      <c r="C6" t="s">
        <v>92</v>
      </c>
      <c r="D6" t="s">
        <v>22</v>
      </c>
      <c r="E6" t="s">
        <v>39</v>
      </c>
      <c r="F6" t="s">
        <v>22</v>
      </c>
      <c r="G6" t="s">
        <v>27</v>
      </c>
      <c r="H6">
        <v>1</v>
      </c>
      <c r="R6" t="str">
        <v>east</v>
      </c>
      <c r="S6">
        <v>7</v>
      </c>
      <c r="T6">
        <v>0</v>
      </c>
      <c r="U6">
        <v>7</v>
      </c>
      <c r="W6" t="str">
        <v>officiant</v>
      </c>
      <c r="X6">
        <v>1</v>
      </c>
    </row>
    <row r="7" spans="1:29" x14ac:dyDescent="0.25">
      <c r="A7" t="s">
        <v>49</v>
      </c>
      <c r="B7" t="s">
        <v>50</v>
      </c>
      <c r="C7" t="s">
        <v>92</v>
      </c>
      <c r="D7" t="s">
        <v>22</v>
      </c>
      <c r="E7" t="s">
        <v>39</v>
      </c>
      <c r="F7" t="s">
        <v>22</v>
      </c>
      <c r="G7" t="s">
        <v>27</v>
      </c>
      <c r="H7">
        <v>1</v>
      </c>
      <c r="R7" t="str">
        <v>work</v>
      </c>
      <c r="S7">
        <v>5</v>
      </c>
      <c r="T7">
        <v>0</v>
      </c>
      <c r="U7">
        <v>5</v>
      </c>
    </row>
    <row r="8" spans="1:29" x14ac:dyDescent="0.25">
      <c r="A8" t="s">
        <v>51</v>
      </c>
      <c r="B8" t="s">
        <v>3</v>
      </c>
      <c r="C8" t="s">
        <v>92</v>
      </c>
      <c r="D8" t="s">
        <v>22</v>
      </c>
      <c r="E8" t="s">
        <v>25</v>
      </c>
      <c r="F8" t="s">
        <v>22</v>
      </c>
      <c r="G8" t="s">
        <v>27</v>
      </c>
      <c r="H8">
        <v>1</v>
      </c>
    </row>
    <row r="9" spans="1:29" x14ac:dyDescent="0.25">
      <c r="A9" t="s">
        <v>52</v>
      </c>
      <c r="B9" t="s">
        <v>53</v>
      </c>
      <c r="C9" t="s">
        <v>92</v>
      </c>
      <c r="D9" t="s">
        <v>22</v>
      </c>
      <c r="E9" t="s">
        <v>39</v>
      </c>
      <c r="G9" t="s">
        <v>93</v>
      </c>
      <c r="H9">
        <v>1</v>
      </c>
    </row>
    <row r="10" spans="1:29" x14ac:dyDescent="0.25">
      <c r="A10" t="s">
        <v>4</v>
      </c>
      <c r="B10" t="s">
        <v>2</v>
      </c>
      <c r="C10" t="s">
        <v>92</v>
      </c>
      <c r="D10" t="s">
        <v>23</v>
      </c>
      <c r="E10" t="s">
        <v>40</v>
      </c>
      <c r="F10" t="s">
        <v>23</v>
      </c>
      <c r="G10" t="s">
        <v>27</v>
      </c>
      <c r="H10">
        <v>1</v>
      </c>
    </row>
    <row r="11" spans="1:29" x14ac:dyDescent="0.25">
      <c r="A11" t="s">
        <v>5</v>
      </c>
      <c r="B11" t="s">
        <v>86</v>
      </c>
      <c r="C11" t="s">
        <v>92</v>
      </c>
      <c r="D11" t="s">
        <v>23</v>
      </c>
      <c r="E11" t="s">
        <v>40</v>
      </c>
      <c r="F11" t="s">
        <v>23</v>
      </c>
      <c r="G11" t="s">
        <v>27</v>
      </c>
      <c r="H11">
        <v>1</v>
      </c>
    </row>
    <row r="12" spans="1:29" x14ac:dyDescent="0.25">
      <c r="A12" t="s">
        <v>6</v>
      </c>
      <c r="B12" t="s">
        <v>7</v>
      </c>
      <c r="C12" t="s">
        <v>92</v>
      </c>
      <c r="D12" t="s">
        <v>23</v>
      </c>
      <c r="E12" t="s">
        <v>40</v>
      </c>
      <c r="F12" t="s">
        <v>23</v>
      </c>
      <c r="G12" t="s">
        <v>27</v>
      </c>
      <c r="H12">
        <v>1</v>
      </c>
    </row>
    <row r="13" spans="1:29" x14ac:dyDescent="0.25">
      <c r="A13" t="s">
        <v>54</v>
      </c>
      <c r="B13" t="s">
        <v>55</v>
      </c>
      <c r="C13" t="s">
        <v>92</v>
      </c>
      <c r="D13" t="s">
        <v>22</v>
      </c>
      <c r="E13" t="s">
        <v>25</v>
      </c>
      <c r="G13" t="s">
        <v>27</v>
      </c>
    </row>
    <row r="14" spans="1:29" x14ac:dyDescent="0.25">
      <c r="A14" t="s">
        <v>56</v>
      </c>
      <c r="C14" t="s">
        <v>9</v>
      </c>
      <c r="D14" t="s">
        <v>22</v>
      </c>
      <c r="E14" t="s">
        <v>25</v>
      </c>
      <c r="F14" t="s">
        <v>27</v>
      </c>
      <c r="G14" t="s">
        <v>27</v>
      </c>
    </row>
    <row r="15" spans="1:29" x14ac:dyDescent="0.25">
      <c r="A15" t="s">
        <v>57</v>
      </c>
      <c r="C15" t="s">
        <v>9</v>
      </c>
      <c r="D15" t="s">
        <v>22</v>
      </c>
      <c r="E15" t="s">
        <v>25</v>
      </c>
      <c r="F15" t="s">
        <v>27</v>
      </c>
      <c r="G15" t="s">
        <v>27</v>
      </c>
    </row>
    <row r="16" spans="1:29" x14ac:dyDescent="0.25">
      <c r="A16" t="s">
        <v>58</v>
      </c>
      <c r="B16" s="1"/>
      <c r="C16" t="s">
        <v>9</v>
      </c>
      <c r="D16" t="s">
        <v>22</v>
      </c>
      <c r="E16" t="s">
        <v>25</v>
      </c>
      <c r="F16" t="s">
        <v>27</v>
      </c>
      <c r="G16" t="s">
        <v>27</v>
      </c>
    </row>
    <row r="17" spans="1:8" x14ac:dyDescent="0.25">
      <c r="A17" t="s">
        <v>59</v>
      </c>
      <c r="B17" t="s">
        <v>60</v>
      </c>
      <c r="C17" t="s">
        <v>92</v>
      </c>
      <c r="D17" t="s">
        <v>22</v>
      </c>
      <c r="E17" t="s">
        <v>39</v>
      </c>
      <c r="H17">
        <v>1</v>
      </c>
    </row>
    <row r="18" spans="1:8" x14ac:dyDescent="0.25">
      <c r="A18" t="s">
        <v>61</v>
      </c>
      <c r="B18" t="s">
        <v>10</v>
      </c>
      <c r="C18" t="s">
        <v>92</v>
      </c>
      <c r="D18" t="s">
        <v>22</v>
      </c>
      <c r="E18" t="s">
        <v>39</v>
      </c>
      <c r="F18" t="s">
        <v>27</v>
      </c>
      <c r="G18" t="s">
        <v>27</v>
      </c>
      <c r="H18">
        <v>1</v>
      </c>
    </row>
    <row r="19" spans="1:8" x14ac:dyDescent="0.25">
      <c r="A19" t="s">
        <v>62</v>
      </c>
      <c r="B19" t="s">
        <v>11</v>
      </c>
      <c r="C19" t="s">
        <v>92</v>
      </c>
      <c r="D19" t="s">
        <v>22</v>
      </c>
      <c r="E19" t="s">
        <v>39</v>
      </c>
      <c r="F19" t="s">
        <v>27</v>
      </c>
      <c r="G19" t="s">
        <v>27</v>
      </c>
      <c r="H19">
        <v>1</v>
      </c>
    </row>
    <row r="20" spans="1:8" x14ac:dyDescent="0.25">
      <c r="A20" t="s">
        <v>63</v>
      </c>
      <c r="B20" t="s">
        <v>64</v>
      </c>
      <c r="C20" t="s">
        <v>92</v>
      </c>
      <c r="D20" t="s">
        <v>22</v>
      </c>
      <c r="E20" t="s">
        <v>39</v>
      </c>
      <c r="F20" t="s">
        <v>27</v>
      </c>
      <c r="G20" t="s">
        <v>27</v>
      </c>
      <c r="H20">
        <v>1</v>
      </c>
    </row>
    <row r="21" spans="1:8" x14ac:dyDescent="0.25">
      <c r="A21" t="s">
        <v>65</v>
      </c>
      <c r="B21" t="s">
        <v>66</v>
      </c>
      <c r="C21" t="s">
        <v>92</v>
      </c>
      <c r="D21" t="s">
        <v>22</v>
      </c>
      <c r="E21" t="s">
        <v>24</v>
      </c>
      <c r="F21" t="s">
        <v>27</v>
      </c>
      <c r="G21" t="s">
        <v>27</v>
      </c>
      <c r="H21">
        <v>1</v>
      </c>
    </row>
    <row r="22" spans="1:8" x14ac:dyDescent="0.25">
      <c r="A22" t="s">
        <v>67</v>
      </c>
      <c r="B22" t="s">
        <v>68</v>
      </c>
      <c r="C22" t="s">
        <v>92</v>
      </c>
      <c r="D22" t="s">
        <v>22</v>
      </c>
      <c r="E22" t="s">
        <v>24</v>
      </c>
      <c r="F22" t="s">
        <v>27</v>
      </c>
      <c r="G22" t="s">
        <v>27</v>
      </c>
      <c r="H22">
        <v>1</v>
      </c>
    </row>
    <row r="23" spans="1:8" x14ac:dyDescent="0.25">
      <c r="A23" t="s">
        <v>69</v>
      </c>
      <c r="B23" t="s">
        <v>70</v>
      </c>
      <c r="C23" t="s">
        <v>92</v>
      </c>
      <c r="D23" t="s">
        <v>22</v>
      </c>
      <c r="E23" t="s">
        <v>39</v>
      </c>
      <c r="F23" t="s">
        <v>27</v>
      </c>
      <c r="G23" t="s">
        <v>27</v>
      </c>
    </row>
    <row r="24" spans="1:8" x14ac:dyDescent="0.25">
      <c r="A24" t="s">
        <v>71</v>
      </c>
      <c r="C24" t="s">
        <v>9</v>
      </c>
      <c r="D24" t="s">
        <v>22</v>
      </c>
      <c r="E24" t="s">
        <v>39</v>
      </c>
      <c r="F24" t="s">
        <v>27</v>
      </c>
      <c r="G24" t="s">
        <v>27</v>
      </c>
    </row>
    <row r="25" spans="1:8" x14ac:dyDescent="0.25">
      <c r="A25" t="s">
        <v>72</v>
      </c>
      <c r="B25" t="s">
        <v>73</v>
      </c>
      <c r="C25" t="s">
        <v>92</v>
      </c>
      <c r="D25" t="s">
        <v>22</v>
      </c>
      <c r="E25" t="s">
        <v>39</v>
      </c>
      <c r="F25" t="s">
        <v>27</v>
      </c>
      <c r="G25" t="s">
        <v>27</v>
      </c>
      <c r="H25">
        <v>1</v>
      </c>
    </row>
    <row r="26" spans="1:8" x14ac:dyDescent="0.25">
      <c r="A26" t="s">
        <v>14</v>
      </c>
      <c r="B26" t="s">
        <v>15</v>
      </c>
      <c r="C26" t="s">
        <v>92</v>
      </c>
      <c r="D26" t="s">
        <v>22</v>
      </c>
      <c r="E26" t="s">
        <v>39</v>
      </c>
      <c r="F26" t="s">
        <v>27</v>
      </c>
      <c r="G26" t="s">
        <v>27</v>
      </c>
      <c r="H26">
        <v>1</v>
      </c>
    </row>
    <row r="27" spans="1:8" x14ac:dyDescent="0.25">
      <c r="A27" t="s">
        <v>74</v>
      </c>
      <c r="B27" t="s">
        <v>75</v>
      </c>
      <c r="C27" t="s">
        <v>92</v>
      </c>
      <c r="D27" t="s">
        <v>22</v>
      </c>
      <c r="E27" t="s">
        <v>24</v>
      </c>
      <c r="F27" t="s">
        <v>29</v>
      </c>
      <c r="G27" t="s">
        <v>29</v>
      </c>
      <c r="H27">
        <v>1</v>
      </c>
    </row>
    <row r="28" spans="1:8" x14ac:dyDescent="0.25">
      <c r="A28" t="s">
        <v>76</v>
      </c>
      <c r="D28" t="s">
        <v>23</v>
      </c>
      <c r="E28" t="s">
        <v>24</v>
      </c>
      <c r="F28" t="s">
        <v>29</v>
      </c>
      <c r="H28">
        <v>1</v>
      </c>
    </row>
    <row r="29" spans="1:8" x14ac:dyDescent="0.25">
      <c r="A29" t="s">
        <v>77</v>
      </c>
      <c r="B29" t="s">
        <v>17</v>
      </c>
      <c r="C29" t="s">
        <v>92</v>
      </c>
      <c r="D29" t="s">
        <v>23</v>
      </c>
      <c r="E29" t="s">
        <v>24</v>
      </c>
      <c r="F29" t="s">
        <v>29</v>
      </c>
      <c r="G29" t="s">
        <v>29</v>
      </c>
      <c r="H29">
        <v>1</v>
      </c>
    </row>
    <row r="30" spans="1:8" x14ac:dyDescent="0.25">
      <c r="A30" t="s">
        <v>79</v>
      </c>
      <c r="B30" t="s">
        <v>80</v>
      </c>
      <c r="C30" t="s">
        <v>92</v>
      </c>
      <c r="D30" t="s">
        <v>22</v>
      </c>
      <c r="E30" t="s">
        <v>25</v>
      </c>
      <c r="F30" t="s">
        <v>27</v>
      </c>
      <c r="G30" t="s">
        <v>27</v>
      </c>
    </row>
    <row r="31" spans="1:8" x14ac:dyDescent="0.25">
      <c r="A31" t="s">
        <v>78</v>
      </c>
      <c r="B31" t="s">
        <v>18</v>
      </c>
      <c r="C31" t="s">
        <v>92</v>
      </c>
      <c r="D31" t="s">
        <v>22</v>
      </c>
      <c r="E31" t="s">
        <v>25</v>
      </c>
      <c r="F31" t="s">
        <v>27</v>
      </c>
      <c r="G31" t="s">
        <v>27</v>
      </c>
    </row>
    <row r="32" spans="1:8" x14ac:dyDescent="0.25">
      <c r="A32" t="s">
        <v>81</v>
      </c>
      <c r="D32" t="s">
        <v>22</v>
      </c>
      <c r="E32" t="s">
        <v>24</v>
      </c>
      <c r="F32" t="s">
        <v>27</v>
      </c>
      <c r="G32" t="s">
        <v>27</v>
      </c>
      <c r="H32">
        <v>1</v>
      </c>
    </row>
    <row r="33" spans="1:8" x14ac:dyDescent="0.25">
      <c r="A33" t="s">
        <v>19</v>
      </c>
      <c r="B33" t="s">
        <v>13</v>
      </c>
      <c r="C33" t="s">
        <v>92</v>
      </c>
      <c r="D33" t="s">
        <v>22</v>
      </c>
      <c r="E33" t="s">
        <v>24</v>
      </c>
      <c r="F33" t="s">
        <v>27</v>
      </c>
      <c r="G33" t="s">
        <v>27</v>
      </c>
      <c r="H33">
        <v>1</v>
      </c>
    </row>
    <row r="34" spans="1:8" x14ac:dyDescent="0.25">
      <c r="A34" t="s">
        <v>82</v>
      </c>
      <c r="B34" t="s">
        <v>83</v>
      </c>
      <c r="C34" t="s">
        <v>92</v>
      </c>
      <c r="D34" t="s">
        <v>22</v>
      </c>
      <c r="E34" t="s">
        <v>24</v>
      </c>
      <c r="F34" t="s">
        <v>27</v>
      </c>
      <c r="G34" t="s">
        <v>27</v>
      </c>
    </row>
    <row r="35" spans="1:8" x14ac:dyDescent="0.25">
      <c r="A35" t="s">
        <v>84</v>
      </c>
      <c r="B35" t="s">
        <v>85</v>
      </c>
      <c r="C35" t="s">
        <v>92</v>
      </c>
      <c r="D35" t="s">
        <v>22</v>
      </c>
      <c r="E35" t="s">
        <v>24</v>
      </c>
      <c r="F35" t="s">
        <v>27</v>
      </c>
      <c r="G35" t="s">
        <v>27</v>
      </c>
    </row>
    <row r="36" spans="1:8" x14ac:dyDescent="0.25">
      <c r="A36" t="s">
        <v>87</v>
      </c>
      <c r="B36" t="s">
        <v>88</v>
      </c>
      <c r="C36" t="s">
        <v>92</v>
      </c>
      <c r="D36" t="s">
        <v>22</v>
      </c>
      <c r="E36" t="s">
        <v>24</v>
      </c>
      <c r="F36" t="s">
        <v>27</v>
      </c>
      <c r="G36" t="s">
        <v>27</v>
      </c>
    </row>
    <row r="37" spans="1:8" x14ac:dyDescent="0.25">
      <c r="A37" t="s">
        <v>16</v>
      </c>
      <c r="B37" t="s">
        <v>12</v>
      </c>
      <c r="C37" t="s">
        <v>92</v>
      </c>
      <c r="D37" t="s">
        <v>23</v>
      </c>
      <c r="E37" t="s">
        <v>24</v>
      </c>
      <c r="F37" t="s">
        <v>27</v>
      </c>
      <c r="G37" t="s">
        <v>27</v>
      </c>
    </row>
    <row r="38" spans="1:8" x14ac:dyDescent="0.25">
      <c r="A38" t="s">
        <v>30</v>
      </c>
      <c r="B38" t="s">
        <v>37</v>
      </c>
      <c r="C38" t="s">
        <v>92</v>
      </c>
      <c r="D38" t="s">
        <v>23</v>
      </c>
      <c r="E38" t="s">
        <v>24</v>
      </c>
    </row>
    <row r="39" spans="1:8" x14ac:dyDescent="0.25">
      <c r="A39" t="s">
        <v>31</v>
      </c>
      <c r="B39" t="s">
        <v>32</v>
      </c>
      <c r="C39" t="s">
        <v>92</v>
      </c>
      <c r="D39" t="s">
        <v>23</v>
      </c>
      <c r="E39" t="s">
        <v>38</v>
      </c>
      <c r="F39" t="s">
        <v>27</v>
      </c>
      <c r="G39" t="s">
        <v>27</v>
      </c>
    </row>
    <row r="40" spans="1:8" x14ac:dyDescent="0.25">
      <c r="A40" t="s">
        <v>33</v>
      </c>
      <c r="B40" t="s">
        <v>34</v>
      </c>
      <c r="C40" t="s">
        <v>92</v>
      </c>
      <c r="D40" t="s">
        <v>23</v>
      </c>
      <c r="E40" t="s">
        <v>38</v>
      </c>
      <c r="F40" t="s">
        <v>27</v>
      </c>
      <c r="G40" t="s">
        <v>27</v>
      </c>
    </row>
    <row r="41" spans="1:8" x14ac:dyDescent="0.25">
      <c r="A41" t="s">
        <v>35</v>
      </c>
      <c r="D41" t="s">
        <v>23</v>
      </c>
      <c r="E41" t="s">
        <v>38</v>
      </c>
      <c r="F41" t="s">
        <v>27</v>
      </c>
    </row>
    <row r="42" spans="1:8" x14ac:dyDescent="0.25">
      <c r="A42" t="s">
        <v>36</v>
      </c>
      <c r="D42" t="s">
        <v>23</v>
      </c>
      <c r="E42" t="s">
        <v>40</v>
      </c>
    </row>
  </sheetData>
  <mergeCells count="5">
    <mergeCell ref="W1:X1"/>
    <mergeCell ref="N1:O1"/>
    <mergeCell ref="K1:L1"/>
    <mergeCell ref="Z1:AC1"/>
    <mergeCell ref="R1:U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Catania</dc:creator>
  <cp:lastModifiedBy>Michael Catania</cp:lastModifiedBy>
  <dcterms:created xsi:type="dcterms:W3CDTF">2026-01-24T01:48:29Z</dcterms:created>
  <dcterms:modified xsi:type="dcterms:W3CDTF">2026-01-26T14:11:22Z</dcterms:modified>
</cp:coreProperties>
</file>